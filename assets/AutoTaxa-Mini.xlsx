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 defaultThemeVersion="166925"/>
  <xr:revisionPtr revIDLastSave="0" documentId="13_ncr:1000001_{0FE7EF89-E483-3C47-A38D-C155E58648C8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Dados" sheetId="1" r:id="rId1"/>
    <sheet name="Taxas" sheetId="2" state="hidden" r:id="rId2"/>
    <sheet name="Cálculo" sheetId="3" r:id="rId3"/>
    <sheet name="AutoTaxa PRO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2" i="3"/>
  <c r="B3" i="3"/>
  <c r="B4" i="3"/>
  <c r="B5" i="3"/>
  <c r="B6" i="3"/>
  <c r="C2" i="3" a="1"/>
  <c r="C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<sst xmlns="http://schemas.openxmlformats.org/spreadsheetml/2006/main" count="40" uniqueCount="38">
  <si>
    <t>Campo</t>
  </si>
  <si>
    <t>Valor</t>
  </si>
  <si>
    <t>Valor de CIF (USD)</t>
  </si>
  <si>
    <t xml:space="preserve">Ano da Viatura </t>
  </si>
  <si>
    <t>Ano Actual</t>
  </si>
  <si>
    <t xml:space="preserve">Idade da Viatura </t>
  </si>
  <si>
    <t>Direitos Aduaneiros</t>
  </si>
  <si>
    <t xml:space="preserve">Até 5 anos </t>
  </si>
  <si>
    <t xml:space="preserve">6 a 10 Anos </t>
  </si>
  <si>
    <t xml:space="preserve">Mais de 10 anos </t>
  </si>
  <si>
    <t>Imposto de Consumo</t>
  </si>
  <si>
    <t>Até 1500 cc</t>
  </si>
  <si>
    <t>1501 a 2500 cc</t>
  </si>
  <si>
    <t>Mais de 2500 cc</t>
  </si>
  <si>
    <t>IVA</t>
  </si>
  <si>
    <t xml:space="preserve">Descrição </t>
  </si>
  <si>
    <t>Valor (USD)</t>
  </si>
  <si>
    <t>Total de Impostos</t>
  </si>
  <si>
    <t>Custo Final da Viatura</t>
  </si>
  <si>
    <t>Valor (AOA)</t>
  </si>
  <si>
    <t>Taxa de Câmbio USD</t>
  </si>
  <si>
    <t>Percentual</t>
  </si>
  <si>
    <t>Cilindrada (CC)</t>
  </si>
  <si>
    <t>A AutoTaxa mini é uma versão mais básica da AutoTaxa Pro, os</t>
  </si>
  <si>
    <t xml:space="preserve">cálculos apresentados são aproximações vagas que servem </t>
  </si>
  <si>
    <t xml:space="preserve">apenas para uma noção inicial, não cria seu orçamento com base </t>
  </si>
  <si>
    <t>AutoTaxa Pro</t>
  </si>
  <si>
    <t>⚠️ Atenção ⚠️</t>
  </si>
  <si>
    <t xml:space="preserve">nesses valores. Não arrisque seu capital, caso queira ver a previsão </t>
  </si>
  <si>
    <t xml:space="preserve">real dos custos e o valor exato de Impostos e taxas que vai pagar, </t>
  </si>
  <si>
    <t xml:space="preserve">recomendo fortemente que adquira a versão Pro actualizada, que </t>
  </si>
  <si>
    <t>já possui a nova pauta aduaneira integrada.</t>
  </si>
  <si>
    <t>Ganhe 30% de desconto utilizando o cupão</t>
  </si>
  <si>
    <t>AUTO30TAXA10</t>
  </si>
  <si>
    <t>Válido até 20 de outubro de 2026. Aproveite!</t>
  </si>
  <si>
    <t>https://okandapay.com/checkout/planilha-calculadora-de-importacao-de-viaturas-autotaxa-master-muynkvpm?pid=afdd1e4e-c4ee-43a6-8fed-5bb1cb59af81</t>
  </si>
  <si>
    <t>Clicando no link aqui a baixo 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</si>
</sst>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1" xfId="0" applyFont="1" applyBorder="1"/>
    <xf numFmtId="0" fontId="0" fillId="0" borderId="2" xfId="0" applyBorder="1"/>
    <xf numFmtId="0" fontId="4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0" borderId="2" xfId="0" applyFont="1" applyFill="1" applyBorder="1"/>
    <xf numFmtId="0" fontId="1" fillId="0" borderId="2" xfId="0" applyFont="1" applyFill="1" applyBorder="1"/>
    <xf numFmtId="0" fontId="1" fillId="4" borderId="3" xfId="0" applyFont="1" applyFill="1" applyBorder="1"/>
    <xf numFmtId="0" fontId="3" fillId="0" borderId="3" xfId="0" applyFont="1" applyBorder="1"/>
    <xf numFmtId="0" fontId="0" fillId="0" borderId="5" xfId="0" applyBorder="1"/>
    <xf numFmtId="0" fontId="0" fillId="7" borderId="2" xfId="0" applyFill="1" applyBorder="1"/>
    <xf numFmtId="0" fontId="1" fillId="2" borderId="7" xfId="0" applyFont="1" applyFill="1" applyBorder="1"/>
    <xf numFmtId="0" fontId="0" fillId="0" borderId="8" xfId="0" applyBorder="1"/>
    <xf numFmtId="0" fontId="1" fillId="5" borderId="9" xfId="0" applyFont="1" applyFill="1" applyBorder="1"/>
    <xf numFmtId="0" fontId="5" fillId="0" borderId="6" xfId="0" applyFont="1" applyFill="1" applyBorder="1"/>
    <xf numFmtId="0" fontId="1" fillId="6" borderId="4" xfId="0" applyFont="1" applyFill="1" applyBorder="1"/>
    <xf numFmtId="0" fontId="0" fillId="7" borderId="10" xfId="0" applyFill="1" applyBorder="1"/>
    <xf numFmtId="43" fontId="0" fillId="5" borderId="1" xfId="0" applyNumberFormat="1" applyFill="1" applyBorder="1"/>
    <xf numFmtId="43" fontId="0" fillId="7" borderId="2" xfId="0" applyNumberFormat="1" applyFill="1" applyBorder="1"/>
    <xf numFmtId="43" fontId="1" fillId="5" borderId="1" xfId="0" applyNumberFormat="1" applyFont="1" applyFill="1" applyBorder="1"/>
    <xf numFmtId="0" fontId="6" fillId="8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0" fillId="0" borderId="7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12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7" fillId="0" borderId="2" xfId="1" applyBorder="1" applyAlignment="1">
      <alignment horizontal="left"/>
    </xf>
    <xf numFmtId="0" fontId="7" fillId="0" borderId="13" xfId="1" applyBorder="1" applyAlignment="1">
      <alignment horizontal="left"/>
    </xf>
    <xf numFmtId="0" fontId="7" fillId="0" borderId="5" xfId="1" applyBorder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14">
    <dxf>
      <fill>
        <patternFill patternType="solid">
          <fgColor indexed="64"/>
          <bgColor theme="0" tint="-9.9978637043366805E-2"/>
        </patternFill>
      </fill>
      <border diagonalUp="0" diagonalDown="0">
        <left/>
        <right/>
        <top style="thin">
          <color rgb="FF505050"/>
        </top>
        <bottom/>
        <vertical/>
        <horizontal/>
      </border>
    </dxf>
    <dxf>
      <border outline="0">
        <top style="thin">
          <color rgb="FF505050"/>
        </top>
      </border>
    </dxf>
    <dxf>
      <border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ill>
        <patternFill patternType="solid">
          <fgColor indexed="64"/>
          <bgColor theme="0" tint="-9.9978637043366805E-2"/>
        </patternFill>
      </fill>
    </dxf>
    <dxf>
      <border outline="0"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border diagonalUp="0" diagonalDown="0">
        <left style="thin">
          <color rgb="FF505050"/>
        </left>
        <right/>
        <top style="thin">
          <color rgb="FF505050"/>
        </top>
        <bottom style="thin">
          <color rgb="FF505050"/>
        </bottom>
        <vertical/>
        <horizontal/>
      </border>
    </dxf>
    <dxf>
      <border outline="0">
        <bottom style="thin">
          <color rgb="FF505050"/>
        </bottom>
      </border>
    </dxf>
    <dxf>
      <fill>
        <patternFill patternType="solid">
          <fgColor indexed="64"/>
          <bgColor theme="0" tint="-9.9978637043366805E-2"/>
        </patternFill>
      </fill>
      <border diagonalUp="0" diagonalDown="0">
        <left style="thin">
          <color rgb="FF505050"/>
        </left>
        <right/>
        <top style="thin">
          <color rgb="FF505050"/>
        </top>
        <bottom style="thin">
          <color rgb="FF505050"/>
        </bottom>
        <vertical/>
        <horizontal/>
      </border>
    </dxf>
    <dxf>
      <border diagonalUp="0" diagonalDown="0">
        <left/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border outline="0">
        <top style="thin">
          <color rgb="FF505050"/>
        </top>
      </border>
    </dxf>
    <dxf>
      <border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border outline="0">
        <bottom style="thin">
          <color rgb="FF50505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11875</xdr:colOff>
      <xdr:row>15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CE9BF5-4566-E20C-BA31-42EBC56A3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675" cy="28500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113149-F3DF-EE4B-8EE9-6B92E80D7EBD}" name="Tabela3" displayName="Tabela3" ref="A1:B6" totalsRowShown="0" headerRowBorderDxfId="13" tableBorderDxfId="12" totalsRowBorderDxfId="11">
  <autoFilter ref="A1:B6" xr:uid="{DA113149-F3DF-EE4B-8EE9-6B92E80D7EBD}"/>
  <tableColumns count="2">
    <tableColumn id="1" xr3:uid="{3A3068ED-8F20-5E4B-B143-45BBE678C109}" name="Campo" dataDxfId="10"/>
    <tableColumn id="2" xr3:uid="{ABE36431-E1BE-B849-918B-3DC5300613AC}" name="Valor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1F2493-DA2D-8241-9CDF-210C24F408FA}" name="Tabela1" displayName="Tabela1" ref="A1:B11" totalsRowShown="0" tableBorderDxfId="8">
  <autoFilter ref="A1:B11" xr:uid="{B61F2493-DA2D-8241-9CDF-210C24F408FA}"/>
  <tableColumns count="2">
    <tableColumn id="1" xr3:uid="{1385C2BB-40D0-4047-BEF9-C397DB807A28}" name="Direitos Aduaneiros" dataDxfId="7"/>
    <tableColumn id="2" xr3:uid="{86EF9672-3217-5A49-ADDF-22905FD1BAA1}" name="Percentual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DA60E6-0B72-9A46-A157-F52A08F3D3B1}" name="Tabela5" displayName="Tabela5" ref="A8:A9" totalsRowShown="0" headerRowDxfId="5" dataDxfId="3" headerRowBorderDxfId="4" tableBorderDxfId="2" totalsRowBorderDxfId="1">
  <autoFilter ref="A8:A9" xr:uid="{23DA60E6-0B72-9A46-A157-F52A08F3D3B1}"/>
  <tableColumns count="1">
    <tableColumn id="1" xr3:uid="{827EBB15-A498-6546-B953-F330D04869CF}" name="Taxa de Câmbio 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hyperlink" Target="https://okandapay.com/checkout/planilha-calculadora-de-importacao-de-viaturas-autotaxa-master-muynkvpm?pid=afdd1e4e-c4ee-43a6-8fed-5bb1cb59af8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A719-A2AC-EF47-9A16-4795DDCEB5BD}">
  <dimension ref="A1:B6"/>
  <sheetViews>
    <sheetView zoomScaleNormal="60" zoomScaleSheetLayoutView="100" workbookViewId="0">
      <selection activeCell="D21" sqref="D21"/>
    </sheetView>
  </sheetViews>
  <sheetFormatPr defaultRowHeight="15" x14ac:dyDescent="0.2"/>
  <cols>
    <col min="1" max="1" width="18.16015625" customWidth="1"/>
    <col min="2" max="2" width="11.43359375" bestFit="1" customWidth="1"/>
  </cols>
  <sheetData>
    <row r="1" spans="1:2" x14ac:dyDescent="0.2">
      <c r="A1" s="15" t="s">
        <v>0</v>
      </c>
      <c r="B1" s="12" t="s">
        <v>1</v>
      </c>
    </row>
    <row r="2" spans="1:2" x14ac:dyDescent="0.2">
      <c r="A2" s="10" t="s">
        <v>2</v>
      </c>
      <c r="B2" s="19">
        <v>0</v>
      </c>
    </row>
    <row r="3" spans="1:2" x14ac:dyDescent="0.2">
      <c r="A3" s="10" t="s">
        <v>3</v>
      </c>
      <c r="B3" s="11">
        <v>2024</v>
      </c>
    </row>
    <row r="4" spans="1:2" x14ac:dyDescent="0.2">
      <c r="A4" s="10" t="s">
        <v>22</v>
      </c>
      <c r="B4" s="11">
        <v>0</v>
      </c>
    </row>
    <row r="5" spans="1:2" x14ac:dyDescent="0.2">
      <c r="A5" s="10" t="s">
        <v>4</v>
      </c>
      <c r="B5" s="11">
        <v>2026</v>
      </c>
    </row>
    <row r="6" spans="1:2" x14ac:dyDescent="0.2">
      <c r="A6" s="13" t="s">
        <v>5</v>
      </c>
      <c r="B6" s="14">
        <f>B5-B3</f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DC1D-C423-314E-92EB-E1627E717B08}">
  <dimension ref="A1:B11"/>
  <sheetViews>
    <sheetView topLeftCell="A2" zoomScaleNormal="60" zoomScaleSheetLayoutView="100" workbookViewId="0">
      <selection activeCell="D14" sqref="D14"/>
    </sheetView>
  </sheetViews>
  <sheetFormatPr defaultRowHeight="15" x14ac:dyDescent="0.2"/>
  <cols>
    <col min="1" max="1" width="20.84765625" customWidth="1"/>
    <col min="2" max="2" width="14.2578125" customWidth="1"/>
  </cols>
  <sheetData>
    <row r="1" spans="1:2" x14ac:dyDescent="0.2">
      <c r="A1" s="4" t="s">
        <v>6</v>
      </c>
      <c r="B1" t="s">
        <v>21</v>
      </c>
    </row>
    <row r="2" spans="1:2" x14ac:dyDescent="0.2">
      <c r="A2" s="2" t="s">
        <v>7</v>
      </c>
      <c r="B2" s="1">
        <v>0.1</v>
      </c>
    </row>
    <row r="3" spans="1:2" x14ac:dyDescent="0.2">
      <c r="A3" s="2" t="s">
        <v>8</v>
      </c>
      <c r="B3" s="1">
        <v>0.2</v>
      </c>
    </row>
    <row r="4" spans="1:2" x14ac:dyDescent="0.2">
      <c r="A4" s="2" t="s">
        <v>9</v>
      </c>
      <c r="B4" s="1">
        <v>0.3</v>
      </c>
    </row>
    <row r="6" spans="1:2" x14ac:dyDescent="0.2">
      <c r="A6" s="5" t="s">
        <v>10</v>
      </c>
    </row>
    <row r="7" spans="1:2" x14ac:dyDescent="0.2">
      <c r="A7" s="2" t="s">
        <v>11</v>
      </c>
      <c r="B7" s="3">
        <v>0.1</v>
      </c>
    </row>
    <row r="8" spans="1:2" x14ac:dyDescent="0.2">
      <c r="A8" s="2" t="s">
        <v>12</v>
      </c>
      <c r="B8" s="3">
        <v>0.2</v>
      </c>
    </row>
    <row r="9" spans="1:2" x14ac:dyDescent="0.2">
      <c r="A9" s="2" t="s">
        <v>13</v>
      </c>
      <c r="B9" s="3">
        <v>0.2</v>
      </c>
    </row>
    <row r="11" spans="1:2" x14ac:dyDescent="0.2">
      <c r="A11" s="8" t="s">
        <v>14</v>
      </c>
      <c r="B11" s="9">
        <v>0.14000000000000001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9DD5-943B-014D-B872-3BC5773E736B}">
  <dimension ref="A1:C18"/>
  <sheetViews>
    <sheetView zoomScaleNormal="60" zoomScaleSheetLayoutView="100" workbookViewId="0">
      <selection activeCell="A33" sqref="A33"/>
    </sheetView>
  </sheetViews>
  <sheetFormatPr defaultRowHeight="15" x14ac:dyDescent="0.2"/>
  <cols>
    <col min="1" max="1" width="21.65625" customWidth="1"/>
    <col min="2" max="2" width="12.10546875" customWidth="1"/>
    <col min="3" max="3" width="21.25390625" customWidth="1"/>
  </cols>
  <sheetData>
    <row r="1" spans="1:3" x14ac:dyDescent="0.2">
      <c r="A1" s="6" t="s">
        <v>15</v>
      </c>
      <c r="B1" s="4" t="s">
        <v>16</v>
      </c>
      <c r="C1" s="4" t="s">
        <v>19</v>
      </c>
    </row>
    <row r="2" spans="1:3" x14ac:dyDescent="0.2">
      <c r="A2" s="2" t="s">
        <v>6</v>
      </c>
      <c r="B2" s="18">
        <f>IF(Dados!B6&lt;=5,Dados!B2*Taxas!B2,IF(Dados!B6&lt;=10,Dados!B2*Taxas!B3,Dados!B2*Taxas!B4))</f>
        <v>0</v>
      </c>
      <c r="C2" s="18" cm="1">
        <f t="array" ref="C2:C6">A9*$B$2:$B$6</f>
        <v>0</v>
      </c>
    </row>
    <row r="3" spans="1:3" x14ac:dyDescent="0.2">
      <c r="A3" s="2" t="s">
        <v>10</v>
      </c>
      <c r="B3" s="18">
        <f>IF(Dados!B4&lt;=1500,(Dados!B2+B2)*Taxas!B7,IF(Dados!B4&lt;=2500,(Dados!B2+B2)*Taxas!B8,(Dados!B2+B2)*Taxas!B9))</f>
        <v>0</v>
      </c>
      <c r="C3" s="18">
        <v>0</v>
      </c>
    </row>
    <row r="4" spans="1:3" x14ac:dyDescent="0.2">
      <c r="A4" s="2" t="s">
        <v>14</v>
      </c>
      <c r="B4" s="18">
        <f>(Dados!B2+B2+B3)*Taxas!B11</f>
        <v>0</v>
      </c>
      <c r="C4" s="18">
        <v>0</v>
      </c>
    </row>
    <row r="5" spans="1:3" x14ac:dyDescent="0.2">
      <c r="A5" s="2" t="s">
        <v>17</v>
      </c>
      <c r="B5" s="18">
        <f>SUM(B2:B4)</f>
        <v>0</v>
      </c>
      <c r="C5" s="18">
        <v>0</v>
      </c>
    </row>
    <row r="6" spans="1:3" x14ac:dyDescent="0.2">
      <c r="A6" s="7" t="s">
        <v>18</v>
      </c>
      <c r="B6" s="20">
        <f>Dados!B2+B5</f>
        <v>0</v>
      </c>
      <c r="C6" s="18">
        <v>0</v>
      </c>
    </row>
    <row r="8" spans="1:3" x14ac:dyDescent="0.2">
      <c r="A8" s="16" t="s">
        <v>20</v>
      </c>
    </row>
    <row r="9" spans="1:3" x14ac:dyDescent="0.2">
      <c r="A9" s="17">
        <v>926.85</v>
      </c>
    </row>
    <row r="11" spans="1:3" ht="15.75" customHeight="1" x14ac:dyDescent="0.2">
      <c r="A11" s="21" t="s">
        <v>27</v>
      </c>
    </row>
    <row r="12" spans="1:3" x14ac:dyDescent="0.2">
      <c r="A12" s="29" t="s">
        <v>23</v>
      </c>
      <c r="B12" s="30"/>
      <c r="C12" s="31"/>
    </row>
    <row r="13" spans="1:3" x14ac:dyDescent="0.2">
      <c r="A13" s="26" t="s">
        <v>24</v>
      </c>
      <c r="B13" s="27"/>
      <c r="C13" s="28"/>
    </row>
    <row r="14" spans="1:3" x14ac:dyDescent="0.2">
      <c r="A14" s="26" t="s">
        <v>25</v>
      </c>
      <c r="B14" s="27"/>
      <c r="C14" s="28"/>
    </row>
    <row r="15" spans="1:3" x14ac:dyDescent="0.2">
      <c r="A15" s="26" t="s">
        <v>28</v>
      </c>
      <c r="B15" s="27"/>
      <c r="C15" s="28"/>
    </row>
    <row r="16" spans="1:3" x14ac:dyDescent="0.2">
      <c r="A16" s="26" t="s">
        <v>29</v>
      </c>
      <c r="B16" s="27"/>
      <c r="C16" s="28"/>
    </row>
    <row r="17" spans="1:3" x14ac:dyDescent="0.2">
      <c r="A17" s="26" t="s">
        <v>30</v>
      </c>
      <c r="B17" s="27"/>
      <c r="C17" s="28"/>
    </row>
    <row r="18" spans="1:3" x14ac:dyDescent="0.2">
      <c r="A18" s="23" t="s">
        <v>31</v>
      </c>
      <c r="B18" s="24"/>
      <c r="C18" s="25"/>
    </row>
  </sheetData>
  <mergeCells count="7">
    <mergeCell ref="A18:C18"/>
    <mergeCell ref="A17:C17"/>
    <mergeCell ref="A12:C12"/>
    <mergeCell ref="A13:C13"/>
    <mergeCell ref="A14:C14"/>
    <mergeCell ref="A15:C15"/>
    <mergeCell ref="A16:C16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415D-B598-B34B-A675-E2BE6BCDA7F1}">
  <dimension ref="A1:F13"/>
  <sheetViews>
    <sheetView tabSelected="1" zoomScaleNormal="60" zoomScaleSheetLayoutView="100" workbookViewId="0">
      <selection activeCell="D9" sqref="D9"/>
    </sheetView>
  </sheetViews>
  <sheetFormatPr defaultRowHeight="15" x14ac:dyDescent="0.2"/>
  <cols>
    <col min="4" max="4" width="14.796875" customWidth="1"/>
    <col min="6" max="6" width="14.52734375" customWidth="1"/>
  </cols>
  <sheetData>
    <row r="1" spans="1:6" x14ac:dyDescent="0.2">
      <c r="D1" s="22" t="s">
        <v>26</v>
      </c>
    </row>
    <row r="2" spans="1:6" x14ac:dyDescent="0.2">
      <c r="A2" s="32"/>
      <c r="B2" s="32"/>
      <c r="C2" s="32"/>
      <c r="D2" s="33" t="s">
        <v>32</v>
      </c>
      <c r="E2" s="34"/>
      <c r="F2" s="35"/>
    </row>
    <row r="3" spans="1:6" x14ac:dyDescent="0.2">
      <c r="A3" s="32"/>
      <c r="B3" s="32"/>
      <c r="C3" s="32"/>
      <c r="D3" s="36" t="s">
        <v>33</v>
      </c>
      <c r="E3" s="37"/>
      <c r="F3" s="38"/>
    </row>
    <row r="4" spans="1:6" x14ac:dyDescent="0.2">
      <c r="A4" s="32"/>
      <c r="B4" s="32"/>
      <c r="C4" s="32"/>
      <c r="D4" s="40" t="s">
        <v>34</v>
      </c>
      <c r="E4" s="41"/>
      <c r="F4" s="42"/>
    </row>
    <row r="5" spans="1:6" x14ac:dyDescent="0.2">
      <c r="A5" s="32"/>
      <c r="B5" s="32"/>
      <c r="C5" s="32"/>
      <c r="D5" s="39" t="s">
        <v>36</v>
      </c>
      <c r="E5" s="39"/>
      <c r="F5" s="39"/>
    </row>
    <row r="6" spans="1:6" x14ac:dyDescent="0.2">
      <c r="A6" s="32"/>
      <c r="B6" s="32"/>
      <c r="C6" s="32"/>
      <c r="D6" s="43" t="s">
        <v>35</v>
      </c>
      <c r="E6" s="44"/>
      <c r="F6" s="45"/>
    </row>
    <row r="7" spans="1:6" x14ac:dyDescent="0.2">
      <c r="A7" s="32"/>
      <c r="B7" s="32"/>
      <c r="C7" s="32"/>
    </row>
    <row r="8" spans="1:6" x14ac:dyDescent="0.2">
      <c r="A8" s="32"/>
      <c r="B8" s="32"/>
      <c r="C8" s="32"/>
    </row>
    <row r="9" spans="1:6" x14ac:dyDescent="0.2">
      <c r="A9" s="32"/>
      <c r="B9" s="32"/>
      <c r="C9" s="32"/>
    </row>
    <row r="10" spans="1:6" x14ac:dyDescent="0.2">
      <c r="A10" s="32"/>
      <c r="B10" s="32"/>
      <c r="C10" s="32"/>
    </row>
    <row r="11" spans="1:6" x14ac:dyDescent="0.2">
      <c r="A11" s="32"/>
      <c r="B11" s="32"/>
      <c r="C11" s="32"/>
    </row>
    <row r="12" spans="1:6" x14ac:dyDescent="0.2">
      <c r="A12" s="32"/>
      <c r="B12" s="32"/>
      <c r="C12" s="32"/>
    </row>
    <row r="13" spans="1:6" x14ac:dyDescent="0.2">
      <c r="A13" s="32"/>
      <c r="B13" s="32"/>
      <c r="C13" s="32"/>
    </row>
  </sheetData>
  <mergeCells count="6">
    <mergeCell ref="A2:C13"/>
    <mergeCell ref="D2:F2"/>
    <mergeCell ref="D3:F3"/>
    <mergeCell ref="D6:F6"/>
    <mergeCell ref="D5:F5"/>
    <mergeCell ref="D4:F4"/>
  </mergeCells>
  <hyperlinks>
    <hyperlink ref="D6:F6" r:id="rId1" xr:uid="{ACF0F0F0-934E-4047-8BE2-F5015716697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Dados</vt:lpstr>
      <vt:lpstr>Taxas</vt:lpstr>
      <vt:lpstr>Cálculo</vt:lpstr>
      <vt:lpstr>AutoTaxa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Edvaldo Eduardo</dc:creator>
  <dcterms:created xsi:type="dcterms:W3CDTF">2026-01-11T21:22:15Z</dcterms:created>
</cp:coreProperties>
</file>